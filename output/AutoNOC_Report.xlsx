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_28-Feb-2026" sheetId="1" state="visible" r:id="rId1"/>
    <sheet name="Traffic_04-Mar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A500"/>
      </patternFill>
    </fill>
    <fill>
      <patternFill patternType="solid">
        <fgColor rgb="00FF000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49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4" customWidth="1" min="11" max="11"/>
    <col width="13" customWidth="1" min="12" max="12"/>
    <col width="13" customWidth="1" min="13" max="13"/>
    <col width="14" customWidth="1" min="14" max="14"/>
  </cols>
  <sheetData>
    <row r="1" ht="22" customHeight="1">
      <c r="A1" s="28" t="inlineStr">
        <is>
          <t xml:space="preserve">  Voice Traffic Report (MO+MT)  |  PLMN: 40434  |  28-Feb-2026 04:30  →  28-Feb-2026 09:15  |  Generated: 28-Feb-2026 23:27:17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5" t="n"/>
    </row>
    <row r="2" ht="34" customHeight="1">
      <c r="A2" s="2" t="inlineStr">
        <is>
          <t>Date Time</t>
        </is>
      </c>
      <c r="B2" s="2" t="inlineStr">
        <is>
          <t>MO Total Calls</t>
        </is>
      </c>
      <c r="C2" s="2" t="inlineStr">
        <is>
          <t>MO Answered</t>
        </is>
      </c>
      <c r="D2" s="2" t="inlineStr">
        <is>
          <t>MT Total Calls</t>
        </is>
      </c>
      <c r="E2" s="2" t="inlineStr">
        <is>
          <t>MT Answered</t>
        </is>
      </c>
      <c r="F2" s="2" t="inlineStr">
        <is>
          <t>Total Calls</t>
        </is>
      </c>
      <c r="G2" s="2" t="inlineStr">
        <is>
          <t>Total Answered</t>
        </is>
      </c>
      <c r="H2" s="2" t="inlineStr">
        <is>
          <t>Total Recovery
Timer_Expiry_102</t>
        </is>
      </c>
      <c r="I2" s="2" t="inlineStr">
        <is>
          <t>Total Interworking
Unspecified</t>
        </is>
      </c>
      <c r="J2" s="2" t="inlineStr">
        <is>
          <t>MO Recovery
Timer_Expiry_102</t>
        </is>
      </c>
      <c r="K2" s="2" t="inlineStr">
        <is>
          <t>MT CAUSE
ACK TIMEOUT</t>
        </is>
      </c>
      <c r="L2" s="2" t="inlineStr">
        <is>
          <t>MO Answer
Rate (%)</t>
        </is>
      </c>
      <c r="M2" s="2" t="inlineStr">
        <is>
          <t>MT Answer
Rate (%)</t>
        </is>
      </c>
      <c r="N2" s="2" t="inlineStr">
        <is>
          <t>Total Answer
Rate (%)</t>
        </is>
      </c>
    </row>
    <row r="3" ht="15" customHeight="1">
      <c r="A3" s="29" t="inlineStr">
        <is>
          <t>28-Feb-2026 04:30</t>
        </is>
      </c>
      <c r="B3" s="30" t="n">
        <v>16852</v>
      </c>
      <c r="C3" s="30" t="n">
        <v>8220</v>
      </c>
      <c r="D3" s="30" t="n">
        <v>49547</v>
      </c>
      <c r="E3" s="30" t="n">
        <v>23742</v>
      </c>
      <c r="F3" s="30" t="n">
        <v>66399</v>
      </c>
      <c r="G3" s="30" t="n">
        <v>31962</v>
      </c>
      <c r="H3" s="30" t="n">
        <v>571</v>
      </c>
      <c r="I3" s="30" t="n">
        <v>45</v>
      </c>
      <c r="J3" s="30" t="n">
        <v>160</v>
      </c>
      <c r="K3" s="30" t="n">
        <v>6</v>
      </c>
      <c r="L3" s="31" t="n">
        <v>48.78</v>
      </c>
      <c r="M3" s="31" t="n">
        <v>47.92</v>
      </c>
      <c r="N3" s="31" t="n">
        <v>48.14</v>
      </c>
    </row>
    <row r="4" ht="15" customHeight="1">
      <c r="A4" s="32" t="inlineStr">
        <is>
          <t>28-Feb-2026 04:45</t>
        </is>
      </c>
      <c r="B4" s="33" t="n">
        <v>13698</v>
      </c>
      <c r="C4" s="33" t="n">
        <v>6565</v>
      </c>
      <c r="D4" s="33" t="n">
        <v>37564</v>
      </c>
      <c r="E4" s="33" t="n">
        <v>16419</v>
      </c>
      <c r="F4" s="33" t="n">
        <v>51262</v>
      </c>
      <c r="G4" s="33" t="n">
        <v>22984</v>
      </c>
      <c r="H4" s="33" t="n">
        <v>769</v>
      </c>
      <c r="I4" s="33" t="n">
        <v>44</v>
      </c>
      <c r="J4" s="33" t="n">
        <v>117</v>
      </c>
      <c r="K4" s="33" t="n">
        <v>10</v>
      </c>
      <c r="L4" s="34" t="n">
        <v>47.93</v>
      </c>
      <c r="M4" s="35" t="n">
        <v>43.71</v>
      </c>
      <c r="N4" s="35" t="n">
        <v>44.84</v>
      </c>
    </row>
    <row r="5" ht="15" customHeight="1">
      <c r="A5" s="29" t="inlineStr">
        <is>
          <t>28-Feb-2026 05:00</t>
        </is>
      </c>
      <c r="B5" s="30" t="n">
        <v>15540</v>
      </c>
      <c r="C5" s="30" t="n">
        <v>7390</v>
      </c>
      <c r="D5" s="30" t="n">
        <v>39748</v>
      </c>
      <c r="E5" s="30" t="n">
        <v>17642</v>
      </c>
      <c r="F5" s="30" t="n">
        <v>55288</v>
      </c>
      <c r="G5" s="30" t="n">
        <v>25032</v>
      </c>
      <c r="H5" s="30" t="n">
        <v>759</v>
      </c>
      <c r="I5" s="30" t="n">
        <v>80</v>
      </c>
      <c r="J5" s="30" t="n">
        <v>196</v>
      </c>
      <c r="K5" s="30" t="n">
        <v>7</v>
      </c>
      <c r="L5" s="31" t="n">
        <v>47.55</v>
      </c>
      <c r="M5" s="31" t="n">
        <v>44.38</v>
      </c>
      <c r="N5" s="31" t="n">
        <v>45.28</v>
      </c>
    </row>
    <row r="6" ht="15" customHeight="1">
      <c r="A6" s="32" t="inlineStr">
        <is>
          <t>28-Feb-2026 05:15</t>
        </is>
      </c>
      <c r="B6" s="33" t="n">
        <v>16001</v>
      </c>
      <c r="C6" s="33" t="n">
        <v>8264</v>
      </c>
      <c r="D6" s="33" t="n">
        <v>35112</v>
      </c>
      <c r="E6" s="33" t="n">
        <v>15919</v>
      </c>
      <c r="F6" s="33" t="n">
        <v>51113</v>
      </c>
      <c r="G6" s="33" t="n">
        <v>24183</v>
      </c>
      <c r="H6" s="33" t="n">
        <v>583</v>
      </c>
      <c r="I6" s="33" t="n">
        <v>78</v>
      </c>
      <c r="J6" s="33" t="n">
        <v>157</v>
      </c>
      <c r="K6" s="33" t="n">
        <v>6</v>
      </c>
      <c r="L6" s="34" t="n">
        <v>51.65</v>
      </c>
      <c r="M6" s="34" t="n">
        <v>45.34</v>
      </c>
      <c r="N6" s="34" t="n">
        <v>47.31</v>
      </c>
    </row>
    <row r="7" ht="15" customHeight="1">
      <c r="A7" s="29" t="inlineStr">
        <is>
          <t>28-Feb-2026 05:30</t>
        </is>
      </c>
      <c r="B7" s="30" t="n">
        <v>13473</v>
      </c>
      <c r="C7" s="30" t="n">
        <v>6674</v>
      </c>
      <c r="D7" s="30" t="n">
        <v>30975</v>
      </c>
      <c r="E7" s="30" t="n">
        <v>13460</v>
      </c>
      <c r="F7" s="30" t="n">
        <v>44448</v>
      </c>
      <c r="G7" s="30" t="n">
        <v>20134</v>
      </c>
      <c r="H7" s="30" t="n">
        <v>683</v>
      </c>
      <c r="I7" s="30" t="n">
        <v>54</v>
      </c>
      <c r="J7" s="30" t="n">
        <v>111</v>
      </c>
      <c r="K7" s="30" t="n">
        <v>10</v>
      </c>
      <c r="L7" s="35" t="n">
        <v>49.54</v>
      </c>
      <c r="M7" s="35" t="n">
        <v>43.45</v>
      </c>
      <c r="N7" s="35" t="n">
        <v>45.3</v>
      </c>
    </row>
    <row r="8" ht="15" customHeight="1">
      <c r="A8" s="32" t="inlineStr">
        <is>
          <t>28-Feb-2026 05:45</t>
        </is>
      </c>
      <c r="B8" s="33" t="n">
        <v>14867</v>
      </c>
      <c r="C8" s="33" t="n">
        <v>7383</v>
      </c>
      <c r="D8" s="33" t="n">
        <v>33944</v>
      </c>
      <c r="E8" s="33" t="n">
        <v>14362</v>
      </c>
      <c r="F8" s="33" t="n">
        <v>48811</v>
      </c>
      <c r="G8" s="33" t="n">
        <v>21745</v>
      </c>
      <c r="H8" s="33" t="n">
        <v>540</v>
      </c>
      <c r="I8" s="33" t="n">
        <v>43</v>
      </c>
      <c r="J8" s="33" t="n">
        <v>133</v>
      </c>
      <c r="K8" s="33" t="n">
        <v>14</v>
      </c>
      <c r="L8" s="34" t="n">
        <v>49.66</v>
      </c>
      <c r="M8" s="34" t="n">
        <v>42.31</v>
      </c>
      <c r="N8" s="34" t="n">
        <v>44.55</v>
      </c>
    </row>
    <row r="9" ht="15" customHeight="1">
      <c r="A9" s="29" t="inlineStr">
        <is>
          <t>28-Feb-2026 06:00</t>
        </is>
      </c>
      <c r="B9" s="30" t="n">
        <v>17012</v>
      </c>
      <c r="C9" s="30" t="n">
        <v>8212</v>
      </c>
      <c r="D9" s="30" t="n">
        <v>37115</v>
      </c>
      <c r="E9" s="30" t="n">
        <v>17105</v>
      </c>
      <c r="F9" s="30" t="n">
        <v>54127</v>
      </c>
      <c r="G9" s="30" t="n">
        <v>25317</v>
      </c>
      <c r="H9" s="30" t="n">
        <v>678</v>
      </c>
      <c r="I9" s="30" t="n">
        <v>63</v>
      </c>
      <c r="J9" s="30" t="n">
        <v>176</v>
      </c>
      <c r="K9" s="30" t="n">
        <v>9</v>
      </c>
      <c r="L9" s="31" t="n">
        <v>48.27</v>
      </c>
      <c r="M9" s="31" t="n">
        <v>46.09</v>
      </c>
      <c r="N9" s="31" t="n">
        <v>46.77</v>
      </c>
    </row>
    <row r="10" ht="15" customHeight="1">
      <c r="A10" s="32" t="inlineStr">
        <is>
          <t>28-Feb-2026 06:15</t>
        </is>
      </c>
      <c r="B10" s="33" t="n">
        <v>16154</v>
      </c>
      <c r="C10" s="33" t="n">
        <v>6623</v>
      </c>
      <c r="D10" s="33" t="n">
        <v>38984</v>
      </c>
      <c r="E10" s="33" t="n">
        <v>18630</v>
      </c>
      <c r="F10" s="33" t="n">
        <v>55138</v>
      </c>
      <c r="G10" s="33" t="n">
        <v>25253</v>
      </c>
      <c r="H10" s="33" t="n">
        <v>719</v>
      </c>
      <c r="I10" s="33" t="n">
        <v>86</v>
      </c>
      <c r="J10" s="33" t="n">
        <v>112</v>
      </c>
      <c r="K10" s="33" t="n">
        <v>6</v>
      </c>
      <c r="L10" s="35" t="n">
        <v>41</v>
      </c>
      <c r="M10" s="34" t="n">
        <v>47.79</v>
      </c>
      <c r="N10" s="34" t="n">
        <v>45.8</v>
      </c>
    </row>
    <row r="11" ht="15" customHeight="1">
      <c r="A11" s="29" t="inlineStr">
        <is>
          <t>28-Feb-2026 06:30</t>
        </is>
      </c>
      <c r="B11" s="30" t="n">
        <v>15173</v>
      </c>
      <c r="C11" s="30" t="n">
        <v>7567</v>
      </c>
      <c r="D11" s="30" t="n">
        <v>39221</v>
      </c>
      <c r="E11" s="30" t="n">
        <v>18453</v>
      </c>
      <c r="F11" s="30" t="n">
        <v>54394</v>
      </c>
      <c r="G11" s="30" t="n">
        <v>26020</v>
      </c>
      <c r="H11" s="30" t="n">
        <v>738</v>
      </c>
      <c r="I11" s="30" t="n">
        <v>50</v>
      </c>
      <c r="J11" s="30" t="n">
        <v>113</v>
      </c>
      <c r="K11" s="30" t="n">
        <v>6</v>
      </c>
      <c r="L11" s="31" t="n">
        <v>49.87</v>
      </c>
      <c r="M11" s="31" t="n">
        <v>47.05</v>
      </c>
      <c r="N11" s="31" t="n">
        <v>47.84</v>
      </c>
    </row>
    <row r="12" ht="15" customHeight="1">
      <c r="A12" s="32" t="inlineStr">
        <is>
          <t>28-Feb-2026 06:45</t>
        </is>
      </c>
      <c r="B12" s="33" t="n">
        <v>15788</v>
      </c>
      <c r="C12" s="33" t="n">
        <v>7945</v>
      </c>
      <c r="D12" s="33" t="n">
        <v>37895</v>
      </c>
      <c r="E12" s="33" t="n">
        <v>17105</v>
      </c>
      <c r="F12" s="33" t="n">
        <v>53683</v>
      </c>
      <c r="G12" s="33" t="n">
        <v>25050</v>
      </c>
      <c r="H12" s="33" t="n">
        <v>763</v>
      </c>
      <c r="I12" s="33" t="n">
        <v>59</v>
      </c>
      <c r="J12" s="33" t="n">
        <v>135</v>
      </c>
      <c r="K12" s="33" t="n">
        <v>13</v>
      </c>
      <c r="L12" s="34" t="n">
        <v>50.32</v>
      </c>
      <c r="M12" s="35" t="n">
        <v>45.14</v>
      </c>
      <c r="N12" s="34" t="n">
        <v>46.66</v>
      </c>
    </row>
    <row r="13" ht="15" customHeight="1">
      <c r="A13" s="29" t="inlineStr">
        <is>
          <t>28-Feb-2026 07:00</t>
        </is>
      </c>
      <c r="B13" s="30" t="n">
        <v>10923</v>
      </c>
      <c r="C13" s="30" t="n">
        <v>5386</v>
      </c>
      <c r="D13" s="30" t="n">
        <v>34959</v>
      </c>
      <c r="E13" s="30" t="n">
        <v>15314</v>
      </c>
      <c r="F13" s="30" t="n">
        <v>45882</v>
      </c>
      <c r="G13" s="30" t="n">
        <v>20700</v>
      </c>
      <c r="H13" s="30" t="n">
        <v>650</v>
      </c>
      <c r="I13" s="30" t="n">
        <v>51</v>
      </c>
      <c r="J13" s="30" t="n">
        <v>174</v>
      </c>
      <c r="K13" s="30" t="n">
        <v>13</v>
      </c>
      <c r="L13" s="31" t="n">
        <v>49.31</v>
      </c>
      <c r="M13" s="31" t="n">
        <v>43.81</v>
      </c>
      <c r="N13" s="31" t="n">
        <v>45.12</v>
      </c>
    </row>
    <row r="14" ht="15" customHeight="1">
      <c r="A14" s="32" t="inlineStr">
        <is>
          <t>28-Feb-2026 07:15</t>
        </is>
      </c>
      <c r="B14" s="33" t="n">
        <v>16658</v>
      </c>
      <c r="C14" s="33" t="n">
        <v>8584</v>
      </c>
      <c r="D14" s="33" t="n">
        <v>28944</v>
      </c>
      <c r="E14" s="33" t="n">
        <v>10275</v>
      </c>
      <c r="F14" s="33" t="n">
        <v>45602</v>
      </c>
      <c r="G14" s="33" t="n">
        <v>18859</v>
      </c>
      <c r="H14" s="33" t="n">
        <v>781</v>
      </c>
      <c r="I14" s="33" t="n">
        <v>71</v>
      </c>
      <c r="J14" s="33" t="n">
        <v>111</v>
      </c>
      <c r="K14" s="33" t="n">
        <v>8</v>
      </c>
      <c r="L14" s="34" t="n">
        <v>51.53</v>
      </c>
      <c r="M14" s="24" t="n">
        <v>35.5</v>
      </c>
      <c r="N14" s="35" t="n">
        <v>41.36</v>
      </c>
    </row>
    <row r="15" ht="15" customHeight="1">
      <c r="A15" s="29" t="inlineStr">
        <is>
          <t>28-Feb-2026 07:30</t>
        </is>
      </c>
      <c r="B15" s="30" t="n">
        <v>15676</v>
      </c>
      <c r="C15" s="30" t="n">
        <v>7853</v>
      </c>
      <c r="D15" s="30" t="n">
        <v>37923</v>
      </c>
      <c r="E15" s="30" t="n">
        <v>17141</v>
      </c>
      <c r="F15" s="30" t="n">
        <v>53599</v>
      </c>
      <c r="G15" s="30" t="n">
        <v>24994</v>
      </c>
      <c r="H15" s="30" t="n">
        <v>736</v>
      </c>
      <c r="I15" s="30" t="n">
        <v>47</v>
      </c>
      <c r="J15" s="30" t="n">
        <v>189</v>
      </c>
      <c r="K15" s="30" t="n">
        <v>8</v>
      </c>
      <c r="L15" s="31" t="n">
        <v>50.1</v>
      </c>
      <c r="M15" s="31" t="n">
        <v>45.2</v>
      </c>
      <c r="N15" s="31" t="n">
        <v>46.63</v>
      </c>
    </row>
    <row r="16" ht="15" customHeight="1">
      <c r="A16" s="32" t="inlineStr">
        <is>
          <t>28-Feb-2026 07:45</t>
        </is>
      </c>
      <c r="B16" s="33" t="n">
        <v>16660</v>
      </c>
      <c r="C16" s="33" t="n">
        <v>7858</v>
      </c>
      <c r="D16" s="33" t="n">
        <v>35719</v>
      </c>
      <c r="E16" s="33" t="n">
        <v>16223</v>
      </c>
      <c r="F16" s="33" t="n">
        <v>52379</v>
      </c>
      <c r="G16" s="33" t="n">
        <v>24081</v>
      </c>
      <c r="H16" s="33" t="n">
        <v>763</v>
      </c>
      <c r="I16" s="33" t="n">
        <v>57</v>
      </c>
      <c r="J16" s="33" t="n">
        <v>176</v>
      </c>
      <c r="K16" s="33" t="n">
        <v>13</v>
      </c>
      <c r="L16" s="35" t="n">
        <v>47.17</v>
      </c>
      <c r="M16" s="34" t="n">
        <v>45.42</v>
      </c>
      <c r="N16" s="34" t="n">
        <v>45.97</v>
      </c>
    </row>
    <row r="17" ht="15" customHeight="1">
      <c r="A17" s="29" t="inlineStr">
        <is>
          <t>28-Feb-2026 08:00</t>
        </is>
      </c>
      <c r="B17" s="30" t="n">
        <v>14460</v>
      </c>
      <c r="C17" s="30" t="n">
        <v>7372</v>
      </c>
      <c r="D17" s="30" t="n">
        <v>35106</v>
      </c>
      <c r="E17" s="30" t="n">
        <v>15060</v>
      </c>
      <c r="F17" s="30" t="n">
        <v>49566</v>
      </c>
      <c r="G17" s="30" t="n">
        <v>22432</v>
      </c>
      <c r="H17" s="30" t="n">
        <v>716</v>
      </c>
      <c r="I17" s="30" t="n">
        <v>76</v>
      </c>
      <c r="J17" s="30" t="n">
        <v>122</v>
      </c>
      <c r="K17" s="30" t="n">
        <v>11</v>
      </c>
      <c r="L17" s="31" t="n">
        <v>50.98</v>
      </c>
      <c r="M17" s="35" t="n">
        <v>42.9</v>
      </c>
      <c r="N17" s="31" t="n">
        <v>45.26</v>
      </c>
    </row>
    <row r="18" ht="15" customHeight="1">
      <c r="A18" s="32" t="inlineStr">
        <is>
          <t>28-Feb-2026 08:15</t>
        </is>
      </c>
      <c r="B18" s="33" t="n">
        <v>15826</v>
      </c>
      <c r="C18" s="33" t="n">
        <v>6013</v>
      </c>
      <c r="D18" s="33" t="n">
        <v>49383</v>
      </c>
      <c r="E18" s="33" t="n">
        <v>16296</v>
      </c>
      <c r="F18" s="33" t="n">
        <v>65209</v>
      </c>
      <c r="G18" s="33" t="n">
        <v>22309</v>
      </c>
      <c r="H18" s="33" t="n">
        <v>772</v>
      </c>
      <c r="I18" s="33" t="n">
        <v>69</v>
      </c>
      <c r="J18" s="33" t="n">
        <v>118</v>
      </c>
      <c r="K18" s="33" t="n">
        <v>9</v>
      </c>
      <c r="L18" s="24" t="n">
        <v>37.99</v>
      </c>
      <c r="M18" s="24" t="n">
        <v>33</v>
      </c>
      <c r="N18" s="24" t="n">
        <v>34.21</v>
      </c>
    </row>
    <row r="19" ht="15" customHeight="1">
      <c r="A19" s="29" t="inlineStr">
        <is>
          <t>28-Feb-2026 08:30</t>
        </is>
      </c>
      <c r="B19" s="30" t="n">
        <v>16308</v>
      </c>
      <c r="C19" s="30" t="n">
        <v>7789</v>
      </c>
      <c r="D19" s="30" t="n">
        <v>39722</v>
      </c>
      <c r="E19" s="30" t="n">
        <v>18080</v>
      </c>
      <c r="F19" s="30" t="n">
        <v>56030</v>
      </c>
      <c r="G19" s="30" t="n">
        <v>25869</v>
      </c>
      <c r="H19" s="30" t="n">
        <v>683</v>
      </c>
      <c r="I19" s="30" t="n">
        <v>40</v>
      </c>
      <c r="J19" s="30" t="n">
        <v>150</v>
      </c>
      <c r="K19" s="30" t="n">
        <v>13</v>
      </c>
      <c r="L19" s="31" t="n">
        <v>47.76</v>
      </c>
      <c r="M19" s="31" t="n">
        <v>45.52</v>
      </c>
      <c r="N19" s="31" t="n">
        <v>46.17</v>
      </c>
    </row>
    <row r="20" ht="15" customHeight="1">
      <c r="A20" s="32" t="inlineStr">
        <is>
          <t>28-Feb-2026 08:45</t>
        </is>
      </c>
      <c r="B20" s="33" t="n">
        <v>15218</v>
      </c>
      <c r="C20" s="33" t="n">
        <v>7456</v>
      </c>
      <c r="D20" s="33" t="n">
        <v>43628</v>
      </c>
      <c r="E20" s="33" t="n">
        <v>18760</v>
      </c>
      <c r="F20" s="33" t="n">
        <v>58846</v>
      </c>
      <c r="G20" s="33" t="n">
        <v>26216</v>
      </c>
      <c r="H20" s="33" t="n">
        <v>545</v>
      </c>
      <c r="I20" s="33" t="n">
        <v>68</v>
      </c>
      <c r="J20" s="33" t="n">
        <v>170</v>
      </c>
      <c r="K20" s="33" t="n">
        <v>11</v>
      </c>
      <c r="L20" s="34" t="n">
        <v>48.99</v>
      </c>
      <c r="M20" s="35" t="n">
        <v>43</v>
      </c>
      <c r="N20" s="34" t="n">
        <v>44.55</v>
      </c>
    </row>
    <row r="21" ht="15" customHeight="1">
      <c r="A21" s="29" t="inlineStr">
        <is>
          <t>28-Feb-2026 09:00</t>
        </is>
      </c>
      <c r="B21" s="30" t="n">
        <v>18186</v>
      </c>
      <c r="C21" s="30" t="n">
        <v>9397</v>
      </c>
      <c r="D21" s="30" t="n">
        <v>37443</v>
      </c>
      <c r="E21" s="30" t="n">
        <v>17805</v>
      </c>
      <c r="F21" s="30" t="n">
        <v>55629</v>
      </c>
      <c r="G21" s="30" t="n">
        <v>27202</v>
      </c>
      <c r="H21" s="30" t="n">
        <v>533</v>
      </c>
      <c r="I21" s="30" t="n">
        <v>89</v>
      </c>
      <c r="J21" s="30" t="n">
        <v>145</v>
      </c>
      <c r="K21" s="30" t="n">
        <v>13</v>
      </c>
      <c r="L21" s="31" t="n">
        <v>51.67</v>
      </c>
      <c r="M21" s="31" t="n">
        <v>47.55</v>
      </c>
      <c r="N21" s="31" t="n">
        <v>48.9</v>
      </c>
    </row>
    <row r="22" ht="15" customHeight="1">
      <c r="A22" s="32" t="inlineStr">
        <is>
          <t>28-Feb-2026 09:15</t>
        </is>
      </c>
      <c r="B22" s="33" t="n">
        <v>15111</v>
      </c>
      <c r="C22" s="33" t="n">
        <v>7548</v>
      </c>
      <c r="D22" s="33" t="n">
        <v>45470</v>
      </c>
      <c r="E22" s="33" t="n">
        <v>20185</v>
      </c>
      <c r="F22" s="33" t="n">
        <v>60581</v>
      </c>
      <c r="G22" s="33" t="n">
        <v>27733</v>
      </c>
      <c r="H22" s="33" t="n">
        <v>600</v>
      </c>
      <c r="I22" s="33" t="n">
        <v>80</v>
      </c>
      <c r="J22" s="33" t="n">
        <v>105</v>
      </c>
      <c r="K22" s="33" t="n">
        <v>5</v>
      </c>
      <c r="L22" s="34" t="n">
        <v>49.95</v>
      </c>
      <c r="M22" s="35" t="n">
        <v>44.39</v>
      </c>
      <c r="N22" s="35" t="n">
        <v>45.78</v>
      </c>
    </row>
    <row r="23" ht="16" customHeight="1">
      <c r="A23" s="36" t="inlineStr">
        <is>
          <t>TOTAL</t>
        </is>
      </c>
      <c r="B23" s="37">
        <f>SUM(B3:B22)</f>
        <v/>
      </c>
      <c r="C23" s="37">
        <f>SUM(C3:C22)</f>
        <v/>
      </c>
      <c r="D23" s="37">
        <f>SUM(D3:D22)</f>
        <v/>
      </c>
      <c r="E23" s="37">
        <f>SUM(E3:E22)</f>
        <v/>
      </c>
      <c r="F23" s="37">
        <f>SUM(F3:F22)</f>
        <v/>
      </c>
      <c r="G23" s="37">
        <f>SUM(G3:G22)</f>
        <v/>
      </c>
      <c r="H23" s="37">
        <f>SUM(H3:H22)</f>
        <v/>
      </c>
      <c r="I23" s="37">
        <f>SUM(I3:I22)</f>
        <v/>
      </c>
      <c r="J23" s="37">
        <f>SUM(J3:J22)</f>
        <v/>
      </c>
      <c r="K23" s="37">
        <f>SUM(K3:K22)</f>
        <v/>
      </c>
      <c r="L23" s="38">
        <f>IFERROR(AVERAGE(L3:L22),0)</f>
        <v/>
      </c>
      <c r="M23" s="38">
        <f>IFERROR(AVERAGE(M3:M22),0)</f>
        <v/>
      </c>
      <c r="N23" s="38">
        <f>IFERROR(AVERAGE(N3:N22),0)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N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7" customWidth="1" min="10" max="10"/>
    <col width="14" customWidth="1" min="11" max="11"/>
    <col width="13" customWidth="1" min="12" max="12"/>
    <col width="13" customWidth="1" min="13" max="13"/>
    <col width="14" customWidth="1" min="14" max="14"/>
  </cols>
  <sheetData>
    <row r="1" ht="22" customHeight="1">
      <c r="A1" s="28" t="inlineStr">
        <is>
          <t xml:space="preserve">  Voice Traffic Report (MO+MT)  |  PLMN: 40434  |  28-Feb-2026 05:30  →  28-Feb-2026 09:15  |  Generated: 04-Mar-2026 15:01:12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5" t="n"/>
    </row>
    <row r="2" ht="34" customHeight="1">
      <c r="A2" s="2" t="inlineStr">
        <is>
          <t>Date Time</t>
        </is>
      </c>
      <c r="B2" s="2" t="inlineStr">
        <is>
          <t>MO Total Calls</t>
        </is>
      </c>
      <c r="C2" s="2" t="inlineStr">
        <is>
          <t>MO Answered</t>
        </is>
      </c>
      <c r="D2" s="2" t="inlineStr">
        <is>
          <t>MT Total Calls</t>
        </is>
      </c>
      <c r="E2" s="2" t="inlineStr">
        <is>
          <t>MT Answered</t>
        </is>
      </c>
      <c r="F2" s="2" t="inlineStr">
        <is>
          <t>Total Calls</t>
        </is>
      </c>
      <c r="G2" s="2" t="inlineStr">
        <is>
          <t>Total Answered</t>
        </is>
      </c>
      <c r="H2" s="2" t="inlineStr">
        <is>
          <t>Total Recovery
Timer_Expiry_102</t>
        </is>
      </c>
      <c r="I2" s="2" t="inlineStr">
        <is>
          <t>Total Interworking
Unspecified</t>
        </is>
      </c>
      <c r="J2" s="2" t="inlineStr">
        <is>
          <t>MO Recovery
Timer_Expiry_102</t>
        </is>
      </c>
      <c r="K2" s="2" t="inlineStr">
        <is>
          <t>MT CAUSE
ACK TIMEOUT</t>
        </is>
      </c>
      <c r="L2" s="2" t="inlineStr">
        <is>
          <t>MO Answer
Rate (%)</t>
        </is>
      </c>
      <c r="M2" s="2" t="inlineStr">
        <is>
          <t>MT Answer
Rate (%)</t>
        </is>
      </c>
      <c r="N2" s="2" t="inlineStr">
        <is>
          <t>Total Answer
Rate (%)</t>
        </is>
      </c>
    </row>
    <row r="3" ht="15" customHeight="1">
      <c r="A3" s="29" t="inlineStr">
        <is>
          <t>28-Feb-2026 05:30</t>
        </is>
      </c>
      <c r="B3" s="30" t="n">
        <v>13473</v>
      </c>
      <c r="C3" s="30" t="n">
        <v>6674</v>
      </c>
      <c r="D3" s="30" t="n">
        <v>30975</v>
      </c>
      <c r="E3" s="30" t="n">
        <v>13460</v>
      </c>
      <c r="F3" s="30" t="n">
        <v>44448</v>
      </c>
      <c r="G3" s="30" t="n">
        <v>20134</v>
      </c>
      <c r="H3" s="30" t="inlineStr"/>
      <c r="I3" s="30" t="inlineStr"/>
      <c r="J3" s="30" t="inlineStr"/>
      <c r="K3" s="30" t="inlineStr"/>
      <c r="L3" s="31" t="n">
        <v>49.54</v>
      </c>
      <c r="M3" s="31" t="n">
        <v>43.45</v>
      </c>
      <c r="N3" s="31" t="n">
        <v>45.3</v>
      </c>
    </row>
    <row r="4" ht="15" customHeight="1">
      <c r="A4" s="32" t="inlineStr">
        <is>
          <t>28-Feb-2026 05:45</t>
        </is>
      </c>
      <c r="B4" s="33" t="n">
        <v>14867</v>
      </c>
      <c r="C4" s="33" t="n">
        <v>7383</v>
      </c>
      <c r="D4" s="33" t="n">
        <v>33944</v>
      </c>
      <c r="E4" s="33" t="n">
        <v>14362</v>
      </c>
      <c r="F4" s="33" t="n">
        <v>48811</v>
      </c>
      <c r="G4" s="33" t="n">
        <v>21745</v>
      </c>
      <c r="H4" s="33" t="inlineStr"/>
      <c r="I4" s="33" t="inlineStr"/>
      <c r="J4" s="33" t="inlineStr"/>
      <c r="K4" s="33" t="inlineStr"/>
      <c r="L4" s="34" t="n">
        <v>49.66</v>
      </c>
      <c r="M4" s="34" t="n">
        <v>42.31</v>
      </c>
      <c r="N4" s="34" t="n">
        <v>44.55</v>
      </c>
    </row>
    <row r="5" ht="15" customHeight="1">
      <c r="A5" s="29" t="inlineStr">
        <is>
          <t>28-Feb-2026 06:00</t>
        </is>
      </c>
      <c r="B5" s="30" t="n">
        <v>17012</v>
      </c>
      <c r="C5" s="30" t="n">
        <v>8212</v>
      </c>
      <c r="D5" s="30" t="n">
        <v>37115</v>
      </c>
      <c r="E5" s="30" t="n">
        <v>17105</v>
      </c>
      <c r="F5" s="30" t="n">
        <v>54127</v>
      </c>
      <c r="G5" s="30" t="n">
        <v>25317</v>
      </c>
      <c r="H5" s="30" t="inlineStr"/>
      <c r="I5" s="30" t="inlineStr"/>
      <c r="J5" s="30" t="inlineStr"/>
      <c r="K5" s="30" t="inlineStr"/>
      <c r="L5" s="31" t="n">
        <v>48.27</v>
      </c>
      <c r="M5" s="31" t="n">
        <v>46.09</v>
      </c>
      <c r="N5" s="31" t="n">
        <v>46.77</v>
      </c>
    </row>
    <row r="6" ht="15" customHeight="1">
      <c r="A6" s="32" t="inlineStr">
        <is>
          <t>28-Feb-2026 06:15</t>
        </is>
      </c>
      <c r="B6" s="33" t="n">
        <v>16154</v>
      </c>
      <c r="C6" s="33" t="n">
        <v>6623</v>
      </c>
      <c r="D6" s="33" t="n">
        <v>38984</v>
      </c>
      <c r="E6" s="33" t="n">
        <v>18630</v>
      </c>
      <c r="F6" s="33" t="n">
        <v>55138</v>
      </c>
      <c r="G6" s="33" t="n">
        <v>25253</v>
      </c>
      <c r="H6" s="33" t="inlineStr"/>
      <c r="I6" s="33" t="inlineStr"/>
      <c r="J6" s="33" t="inlineStr"/>
      <c r="K6" s="33" t="inlineStr"/>
      <c r="L6" s="35" t="n">
        <v>41</v>
      </c>
      <c r="M6" s="34" t="n">
        <v>47.79</v>
      </c>
      <c r="N6" s="34" t="n">
        <v>45.8</v>
      </c>
    </row>
    <row r="7" ht="15" customHeight="1">
      <c r="A7" s="29" t="inlineStr">
        <is>
          <t>28-Feb-2026 06:30</t>
        </is>
      </c>
      <c r="B7" s="30" t="n">
        <v>15173</v>
      </c>
      <c r="C7" s="30" t="n">
        <v>7567</v>
      </c>
      <c r="D7" s="30" t="n">
        <v>39221</v>
      </c>
      <c r="E7" s="30" t="n">
        <v>18453</v>
      </c>
      <c r="F7" s="30" t="n">
        <v>54394</v>
      </c>
      <c r="G7" s="30" t="n">
        <v>26020</v>
      </c>
      <c r="H7" s="30" t="inlineStr"/>
      <c r="I7" s="30" t="inlineStr"/>
      <c r="J7" s="30" t="inlineStr"/>
      <c r="K7" s="30" t="inlineStr"/>
      <c r="L7" s="31" t="n">
        <v>49.87</v>
      </c>
      <c r="M7" s="31" t="n">
        <v>47.05</v>
      </c>
      <c r="N7" s="31" t="n">
        <v>47.84</v>
      </c>
    </row>
    <row r="8" ht="15" customHeight="1">
      <c r="A8" s="32" t="inlineStr">
        <is>
          <t>28-Feb-2026 06:45</t>
        </is>
      </c>
      <c r="B8" s="33" t="n">
        <v>15788</v>
      </c>
      <c r="C8" s="33" t="n">
        <v>7945</v>
      </c>
      <c r="D8" s="33" t="n">
        <v>37895</v>
      </c>
      <c r="E8" s="33" t="n">
        <v>17105</v>
      </c>
      <c r="F8" s="33" t="n">
        <v>53683</v>
      </c>
      <c r="G8" s="33" t="n">
        <v>25050</v>
      </c>
      <c r="H8" s="33" t="inlineStr"/>
      <c r="I8" s="33" t="inlineStr"/>
      <c r="J8" s="33" t="inlineStr"/>
      <c r="K8" s="33" t="inlineStr"/>
      <c r="L8" s="34" t="n">
        <v>50.32</v>
      </c>
      <c r="M8" s="35" t="n">
        <v>45.14</v>
      </c>
      <c r="N8" s="34" t="n">
        <v>46.66</v>
      </c>
    </row>
    <row r="9" ht="15" customHeight="1">
      <c r="A9" s="29" t="inlineStr">
        <is>
          <t>28-Feb-2026 07:00</t>
        </is>
      </c>
      <c r="B9" s="30" t="n">
        <v>10923</v>
      </c>
      <c r="C9" s="30" t="n">
        <v>5386</v>
      </c>
      <c r="D9" s="30" t="n">
        <v>34959</v>
      </c>
      <c r="E9" s="30" t="n">
        <v>15314</v>
      </c>
      <c r="F9" s="30" t="n">
        <v>45882</v>
      </c>
      <c r="G9" s="30" t="n">
        <v>20700</v>
      </c>
      <c r="H9" s="30" t="inlineStr"/>
      <c r="I9" s="30" t="inlineStr"/>
      <c r="J9" s="30" t="inlineStr"/>
      <c r="K9" s="30" t="inlineStr"/>
      <c r="L9" s="31" t="n">
        <v>49.31</v>
      </c>
      <c r="M9" s="31" t="n">
        <v>43.81</v>
      </c>
      <c r="N9" s="31" t="n">
        <v>45.12</v>
      </c>
    </row>
    <row r="10" ht="15" customHeight="1">
      <c r="A10" s="32" t="inlineStr">
        <is>
          <t>28-Feb-2026 07:15</t>
        </is>
      </c>
      <c r="B10" s="33" t="n">
        <v>16658</v>
      </c>
      <c r="C10" s="33" t="n">
        <v>8584</v>
      </c>
      <c r="D10" s="33" t="n">
        <v>28944</v>
      </c>
      <c r="E10" s="33" t="n">
        <v>10275</v>
      </c>
      <c r="F10" s="33" t="n">
        <v>45602</v>
      </c>
      <c r="G10" s="33" t="n">
        <v>18859</v>
      </c>
      <c r="H10" s="33" t="inlineStr"/>
      <c r="I10" s="33" t="inlineStr"/>
      <c r="J10" s="33" t="inlineStr"/>
      <c r="K10" s="33" t="inlineStr"/>
      <c r="L10" s="34" t="n">
        <v>51.53</v>
      </c>
      <c r="M10" s="24" t="n">
        <v>35.5</v>
      </c>
      <c r="N10" s="35" t="n">
        <v>41.36</v>
      </c>
    </row>
    <row r="11" ht="15" customHeight="1">
      <c r="A11" s="29" t="inlineStr">
        <is>
          <t>28-Feb-2026 07:30</t>
        </is>
      </c>
      <c r="B11" s="30" t="n">
        <v>15676</v>
      </c>
      <c r="C11" s="30" t="n">
        <v>7853</v>
      </c>
      <c r="D11" s="30" t="n">
        <v>37923</v>
      </c>
      <c r="E11" s="30" t="n">
        <v>17141</v>
      </c>
      <c r="F11" s="30" t="n">
        <v>53599</v>
      </c>
      <c r="G11" s="30" t="n">
        <v>24994</v>
      </c>
      <c r="H11" s="30" t="inlineStr"/>
      <c r="I11" s="30" t="inlineStr"/>
      <c r="J11" s="30" t="inlineStr"/>
      <c r="K11" s="30" t="inlineStr"/>
      <c r="L11" s="31" t="n">
        <v>50.1</v>
      </c>
      <c r="M11" s="31" t="n">
        <v>45.2</v>
      </c>
      <c r="N11" s="31" t="n">
        <v>46.63</v>
      </c>
    </row>
    <row r="12" ht="15" customHeight="1">
      <c r="A12" s="32" t="inlineStr">
        <is>
          <t>28-Feb-2026 07:45</t>
        </is>
      </c>
      <c r="B12" s="33" t="n">
        <v>16660</v>
      </c>
      <c r="C12" s="33" t="n">
        <v>7858</v>
      </c>
      <c r="D12" s="33" t="n">
        <v>35719</v>
      </c>
      <c r="E12" s="33" t="n">
        <v>16223</v>
      </c>
      <c r="F12" s="33" t="n">
        <v>52379</v>
      </c>
      <c r="G12" s="33" t="n">
        <v>24081</v>
      </c>
      <c r="H12" s="33" t="inlineStr"/>
      <c r="I12" s="33" t="inlineStr"/>
      <c r="J12" s="33" t="inlineStr"/>
      <c r="K12" s="33" t="inlineStr"/>
      <c r="L12" s="35" t="n">
        <v>47.17</v>
      </c>
      <c r="M12" s="34" t="n">
        <v>45.42</v>
      </c>
      <c r="N12" s="34" t="n">
        <v>45.97</v>
      </c>
    </row>
    <row r="13" ht="15" customHeight="1">
      <c r="A13" s="29" t="inlineStr">
        <is>
          <t>28-Feb-2026 08:00</t>
        </is>
      </c>
      <c r="B13" s="30" t="n">
        <v>14460</v>
      </c>
      <c r="C13" s="30" t="n">
        <v>7372</v>
      </c>
      <c r="D13" s="30" t="n">
        <v>35106</v>
      </c>
      <c r="E13" s="30" t="n">
        <v>15060</v>
      </c>
      <c r="F13" s="30" t="n">
        <v>49566</v>
      </c>
      <c r="G13" s="30" t="n">
        <v>22432</v>
      </c>
      <c r="H13" s="30" t="inlineStr"/>
      <c r="I13" s="30" t="inlineStr"/>
      <c r="J13" s="30" t="inlineStr"/>
      <c r="K13" s="30" t="inlineStr"/>
      <c r="L13" s="31" t="n">
        <v>50.98</v>
      </c>
      <c r="M13" s="35" t="n">
        <v>42.9</v>
      </c>
      <c r="N13" s="31" t="n">
        <v>45.26</v>
      </c>
    </row>
    <row r="14" ht="15" customHeight="1">
      <c r="A14" s="32" t="inlineStr">
        <is>
          <t>28-Feb-2026 08:15</t>
        </is>
      </c>
      <c r="B14" s="33" t="n">
        <v>15826</v>
      </c>
      <c r="C14" s="33" t="n">
        <v>6013</v>
      </c>
      <c r="D14" s="33" t="n">
        <v>49383</v>
      </c>
      <c r="E14" s="33" t="n">
        <v>16296</v>
      </c>
      <c r="F14" s="33" t="n">
        <v>65209</v>
      </c>
      <c r="G14" s="33" t="n">
        <v>22309</v>
      </c>
      <c r="H14" s="33" t="inlineStr"/>
      <c r="I14" s="33" t="inlineStr"/>
      <c r="J14" s="33" t="inlineStr"/>
      <c r="K14" s="33" t="inlineStr"/>
      <c r="L14" s="24" t="n">
        <v>37.99</v>
      </c>
      <c r="M14" s="24" t="n">
        <v>33</v>
      </c>
      <c r="N14" s="24" t="n">
        <v>34.21</v>
      </c>
    </row>
    <row r="15" ht="15" customHeight="1">
      <c r="A15" s="29" t="inlineStr">
        <is>
          <t>28-Feb-2026 08:30</t>
        </is>
      </c>
      <c r="B15" s="30" t="n">
        <v>16308</v>
      </c>
      <c r="C15" s="30" t="n">
        <v>7789</v>
      </c>
      <c r="D15" s="30" t="n">
        <v>39722</v>
      </c>
      <c r="E15" s="30" t="n">
        <v>18080</v>
      </c>
      <c r="F15" s="30" t="n">
        <v>56030</v>
      </c>
      <c r="G15" s="30" t="n">
        <v>25869</v>
      </c>
      <c r="H15" s="30" t="inlineStr"/>
      <c r="I15" s="30" t="inlineStr"/>
      <c r="J15" s="30" t="inlineStr"/>
      <c r="K15" s="30" t="inlineStr"/>
      <c r="L15" s="31" t="n">
        <v>47.76</v>
      </c>
      <c r="M15" s="31" t="n">
        <v>45.52</v>
      </c>
      <c r="N15" s="31" t="n">
        <v>46.17</v>
      </c>
    </row>
    <row r="16" ht="15" customHeight="1">
      <c r="A16" s="32" t="inlineStr">
        <is>
          <t>28-Feb-2026 08:45</t>
        </is>
      </c>
      <c r="B16" s="33" t="n">
        <v>15218</v>
      </c>
      <c r="C16" s="33" t="n">
        <v>7456</v>
      </c>
      <c r="D16" s="33" t="n">
        <v>43628</v>
      </c>
      <c r="E16" s="33" t="n">
        <v>18760</v>
      </c>
      <c r="F16" s="33" t="n">
        <v>58846</v>
      </c>
      <c r="G16" s="33" t="n">
        <v>26216</v>
      </c>
      <c r="H16" s="33" t="inlineStr"/>
      <c r="I16" s="33" t="inlineStr"/>
      <c r="J16" s="33" t="inlineStr"/>
      <c r="K16" s="33" t="inlineStr"/>
      <c r="L16" s="34" t="n">
        <v>48.99</v>
      </c>
      <c r="M16" s="35" t="n">
        <v>43</v>
      </c>
      <c r="N16" s="34" t="n">
        <v>44.55</v>
      </c>
    </row>
    <row r="17" ht="15" customHeight="1">
      <c r="A17" s="29" t="inlineStr">
        <is>
          <t>28-Feb-2026 09:00</t>
        </is>
      </c>
      <c r="B17" s="30" t="n">
        <v>18186</v>
      </c>
      <c r="C17" s="30" t="n">
        <v>9397</v>
      </c>
      <c r="D17" s="30" t="n">
        <v>37443</v>
      </c>
      <c r="E17" s="30" t="n">
        <v>17805</v>
      </c>
      <c r="F17" s="30" t="n">
        <v>55629</v>
      </c>
      <c r="G17" s="30" t="n">
        <v>27202</v>
      </c>
      <c r="H17" s="30" t="inlineStr"/>
      <c r="I17" s="30" t="inlineStr"/>
      <c r="J17" s="30" t="inlineStr"/>
      <c r="K17" s="30" t="inlineStr"/>
      <c r="L17" s="31" t="n">
        <v>51.67</v>
      </c>
      <c r="M17" s="31" t="n">
        <v>47.55</v>
      </c>
      <c r="N17" s="31" t="n">
        <v>48.9</v>
      </c>
    </row>
    <row r="18" ht="15" customHeight="1">
      <c r="A18" s="32" t="inlineStr">
        <is>
          <t>28-Feb-2026 09:15</t>
        </is>
      </c>
      <c r="B18" s="33" t="n">
        <v>15111</v>
      </c>
      <c r="C18" s="33" t="n">
        <v>7548</v>
      </c>
      <c r="D18" s="33" t="n">
        <v>45470</v>
      </c>
      <c r="E18" s="33" t="n">
        <v>20185</v>
      </c>
      <c r="F18" s="33" t="n">
        <v>60581</v>
      </c>
      <c r="G18" s="33" t="n">
        <v>27733</v>
      </c>
      <c r="H18" s="33" t="inlineStr"/>
      <c r="I18" s="33" t="inlineStr"/>
      <c r="J18" s="33" t="inlineStr"/>
      <c r="K18" s="33" t="inlineStr"/>
      <c r="L18" s="34" t="n">
        <v>49.95</v>
      </c>
      <c r="M18" s="35" t="n">
        <v>44.39</v>
      </c>
      <c r="N18" s="35" t="n">
        <v>45.78</v>
      </c>
    </row>
    <row r="19" ht="16" customHeight="1">
      <c r="A19" s="36" t="inlineStr">
        <is>
          <t>TOTAL</t>
        </is>
      </c>
      <c r="B19" s="37">
        <f>SUM(B3:B18)</f>
        <v/>
      </c>
      <c r="C19" s="37">
        <f>SUM(C3:C18)</f>
        <v/>
      </c>
      <c r="D19" s="37">
        <f>SUM(D3:D18)</f>
        <v/>
      </c>
      <c r="E19" s="37">
        <f>SUM(E3:E18)</f>
        <v/>
      </c>
      <c r="F19" s="37">
        <f>SUM(F3:F18)</f>
        <v/>
      </c>
      <c r="G19" s="37">
        <f>SUM(G3:G18)</f>
        <v/>
      </c>
      <c r="H19" s="37">
        <f>SUM(H3:H18)</f>
        <v/>
      </c>
      <c r="I19" s="37">
        <f>SUM(I3:I18)</f>
        <v/>
      </c>
      <c r="J19" s="37">
        <f>SUM(J3:J18)</f>
        <v/>
      </c>
      <c r="K19" s="37">
        <f>SUM(K3:K18)</f>
        <v/>
      </c>
      <c r="L19" s="38">
        <f>IFERROR(AVERAGE(L3:L18),0)</f>
        <v/>
      </c>
      <c r="M19" s="38">
        <f>IFERROR(AVERAGE(M3:M18),0)</f>
        <v/>
      </c>
      <c r="N19" s="38">
        <f>IFERROR(AVERAGE(N3:N18),0)</f>
        <v/>
      </c>
    </row>
    <row r="21" ht="22" customHeight="1">
      <c r="A21" s="28" t="inlineStr">
        <is>
          <t xml:space="preserve">  Voice Traffic Report (MO+MT)  |  PLMN: 40434  |  28-Feb-2026 08:30  →  28-Feb-2026 09:15  |  Generated: 04-Mar-2026 15:01:18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5" t="n"/>
    </row>
    <row r="22" ht="34" customHeight="1">
      <c r="A22" s="2" t="inlineStr">
        <is>
          <t>Date Time</t>
        </is>
      </c>
      <c r="B22" s="2" t="inlineStr">
        <is>
          <t>MO Total Calls</t>
        </is>
      </c>
      <c r="C22" s="2" t="inlineStr">
        <is>
          <t>MO Answered</t>
        </is>
      </c>
      <c r="D22" s="2" t="inlineStr">
        <is>
          <t>MT Total Calls</t>
        </is>
      </c>
      <c r="E22" s="2" t="inlineStr">
        <is>
          <t>MT Answered</t>
        </is>
      </c>
      <c r="F22" s="2" t="inlineStr">
        <is>
          <t>Total Calls</t>
        </is>
      </c>
      <c r="G22" s="2" t="inlineStr">
        <is>
          <t>Total Answered</t>
        </is>
      </c>
      <c r="H22" s="2" t="inlineStr">
        <is>
          <t>Total Recovery
Timer_Expiry_102</t>
        </is>
      </c>
      <c r="I22" s="2" t="inlineStr">
        <is>
          <t>Total Interworking
Unspecified</t>
        </is>
      </c>
      <c r="J22" s="2" t="inlineStr">
        <is>
          <t>MO Recovery
Timer_Expiry_102</t>
        </is>
      </c>
      <c r="K22" s="2" t="inlineStr">
        <is>
          <t>MT CAUSE
ACK TIMEOUT</t>
        </is>
      </c>
      <c r="L22" s="2" t="inlineStr">
        <is>
          <t>MO Answer
Rate (%)</t>
        </is>
      </c>
      <c r="M22" s="2" t="inlineStr">
        <is>
          <t>MT Answer
Rate (%)</t>
        </is>
      </c>
      <c r="N22" s="2" t="inlineStr">
        <is>
          <t>Total Answer
Rate (%)</t>
        </is>
      </c>
    </row>
    <row r="23" ht="15" customHeight="1">
      <c r="A23" s="29" t="inlineStr">
        <is>
          <t>28-Feb-2026 08:30</t>
        </is>
      </c>
      <c r="B23" s="30" t="n">
        <v>16308</v>
      </c>
      <c r="C23" s="30" t="n">
        <v>7789</v>
      </c>
      <c r="D23" s="30" t="n">
        <v>39722</v>
      </c>
      <c r="E23" s="30" t="n">
        <v>18080</v>
      </c>
      <c r="F23" s="30" t="n">
        <v>56030</v>
      </c>
      <c r="G23" s="30" t="n">
        <v>25869</v>
      </c>
      <c r="H23" s="30" t="inlineStr"/>
      <c r="I23" s="30" t="inlineStr"/>
      <c r="J23" s="30" t="inlineStr"/>
      <c r="K23" s="30" t="inlineStr"/>
      <c r="L23" s="31" t="n">
        <v>47.76</v>
      </c>
      <c r="M23" s="31" t="n">
        <v>45.52</v>
      </c>
      <c r="N23" s="31" t="n">
        <v>46.17</v>
      </c>
    </row>
    <row r="24" ht="15" customHeight="1">
      <c r="A24" s="32" t="inlineStr">
        <is>
          <t>28-Feb-2026 08:45</t>
        </is>
      </c>
      <c r="B24" s="33" t="n">
        <v>15218</v>
      </c>
      <c r="C24" s="33" t="n">
        <v>7456</v>
      </c>
      <c r="D24" s="33" t="n">
        <v>43628</v>
      </c>
      <c r="E24" s="33" t="n">
        <v>18760</v>
      </c>
      <c r="F24" s="33" t="n">
        <v>58846</v>
      </c>
      <c r="G24" s="33" t="n">
        <v>26216</v>
      </c>
      <c r="H24" s="33" t="inlineStr"/>
      <c r="I24" s="33" t="inlineStr"/>
      <c r="J24" s="33" t="inlineStr"/>
      <c r="K24" s="33" t="inlineStr"/>
      <c r="L24" s="34" t="n">
        <v>48.99</v>
      </c>
      <c r="M24" s="35" t="n">
        <v>43</v>
      </c>
      <c r="N24" s="34" t="n">
        <v>44.55</v>
      </c>
    </row>
    <row r="25" ht="15" customHeight="1">
      <c r="A25" s="29" t="inlineStr">
        <is>
          <t>28-Feb-2026 09:00</t>
        </is>
      </c>
      <c r="B25" s="30" t="n">
        <v>18186</v>
      </c>
      <c r="C25" s="30" t="n">
        <v>9397</v>
      </c>
      <c r="D25" s="30" t="n">
        <v>37443</v>
      </c>
      <c r="E25" s="30" t="n">
        <v>17805</v>
      </c>
      <c r="F25" s="30" t="n">
        <v>55629</v>
      </c>
      <c r="G25" s="30" t="n">
        <v>27202</v>
      </c>
      <c r="H25" s="30" t="inlineStr"/>
      <c r="I25" s="30" t="inlineStr"/>
      <c r="J25" s="30" t="inlineStr"/>
      <c r="K25" s="30" t="inlineStr"/>
      <c r="L25" s="31" t="n">
        <v>51.67</v>
      </c>
      <c r="M25" s="31" t="n">
        <v>47.55</v>
      </c>
      <c r="N25" s="31" t="n">
        <v>48.9</v>
      </c>
    </row>
    <row r="26" ht="15" customHeight="1">
      <c r="A26" s="32" t="inlineStr">
        <is>
          <t>28-Feb-2026 09:15</t>
        </is>
      </c>
      <c r="B26" s="33" t="n">
        <v>15111</v>
      </c>
      <c r="C26" s="33" t="n">
        <v>7548</v>
      </c>
      <c r="D26" s="33" t="n">
        <v>45470</v>
      </c>
      <c r="E26" s="33" t="n">
        <v>20185</v>
      </c>
      <c r="F26" s="33" t="n">
        <v>60581</v>
      </c>
      <c r="G26" s="33" t="n">
        <v>27733</v>
      </c>
      <c r="H26" s="33" t="inlineStr"/>
      <c r="I26" s="33" t="inlineStr"/>
      <c r="J26" s="33" t="inlineStr"/>
      <c r="K26" s="33" t="inlineStr"/>
      <c r="L26" s="34" t="n">
        <v>49.95</v>
      </c>
      <c r="M26" s="35" t="n">
        <v>44.39</v>
      </c>
      <c r="N26" s="35" t="n">
        <v>45.78</v>
      </c>
    </row>
    <row r="27" ht="16" customHeight="1">
      <c r="A27" s="36" t="inlineStr">
        <is>
          <t>TOTAL</t>
        </is>
      </c>
      <c r="B27" s="37">
        <f>SUM(B23:B26)</f>
        <v/>
      </c>
      <c r="C27" s="37">
        <f>SUM(C23:C26)</f>
        <v/>
      </c>
      <c r="D27" s="37">
        <f>SUM(D23:D26)</f>
        <v/>
      </c>
      <c r="E27" s="37">
        <f>SUM(E23:E26)</f>
        <v/>
      </c>
      <c r="F27" s="37">
        <f>SUM(F23:F26)</f>
        <v/>
      </c>
      <c r="G27" s="37">
        <f>SUM(G23:G26)</f>
        <v/>
      </c>
      <c r="H27" s="37">
        <f>SUM(H23:H26)</f>
        <v/>
      </c>
      <c r="I27" s="37">
        <f>SUM(I23:I26)</f>
        <v/>
      </c>
      <c r="J27" s="37">
        <f>SUM(J23:J26)</f>
        <v/>
      </c>
      <c r="K27" s="37">
        <f>SUM(K23:K26)</f>
        <v/>
      </c>
      <c r="L27" s="38">
        <f>IFERROR(AVERAGE(L23:L26),0)</f>
        <v/>
      </c>
      <c r="M27" s="38">
        <f>IFERROR(AVERAGE(M23:M26),0)</f>
        <v/>
      </c>
      <c r="N27" s="38">
        <f>IFERROR(AVERAGE(N23:N26),0)</f>
        <v/>
      </c>
    </row>
    <row r="29" ht="22" customHeight="1">
      <c r="A29" s="39" t="inlineStr">
        <is>
          <t xml:space="preserve">  Voice Traffic Report (MO+MT)  |  PLMN: 40434  |  28-Feb-2026 05:30  -&gt;  28-Feb-2026 09:15  |  Generated: 04-Mar-2026 16:19:51</t>
        </is>
      </c>
    </row>
    <row r="30" ht="34" customHeight="1">
      <c r="A30" s="2" t="inlineStr">
        <is>
          <t>Date Time</t>
        </is>
      </c>
      <c r="B30" s="2" t="inlineStr">
        <is>
          <t>PLMN</t>
        </is>
      </c>
      <c r="C30" s="2" t="inlineStr">
        <is>
          <t>MO Total Calls</t>
        </is>
      </c>
      <c r="D30" s="2" t="inlineStr">
        <is>
          <t>MO Answered</t>
        </is>
      </c>
      <c r="E30" s="2" t="inlineStr">
        <is>
          <t>MT Total Calls</t>
        </is>
      </c>
      <c r="F30" s="2" t="inlineStr">
        <is>
          <t>MT Answered</t>
        </is>
      </c>
      <c r="G30" s="2" t="inlineStr">
        <is>
          <t>Total Calls</t>
        </is>
      </c>
      <c r="H30" s="2" t="inlineStr">
        <is>
          <t>Total Answered</t>
        </is>
      </c>
      <c r="I30" s="2" t="inlineStr">
        <is>
          <t>MO Answer
Rate (%)</t>
        </is>
      </c>
      <c r="J30" s="2" t="inlineStr">
        <is>
          <t>MT Answer
Rate (%)</t>
        </is>
      </c>
      <c r="K30" s="2" t="inlineStr">
        <is>
          <t>Total Answer
Rate (%)</t>
        </is>
      </c>
    </row>
    <row r="31" ht="15" customHeight="1">
      <c r="A31" s="40" t="inlineStr">
        <is>
          <t>28-Feb-2026 05:30</t>
        </is>
      </c>
      <c r="B31" s="41" t="n">
        <v>40434</v>
      </c>
      <c r="C31" s="42" t="n">
        <v>13473</v>
      </c>
      <c r="D31" s="42" t="n">
        <v>6674</v>
      </c>
      <c r="E31" s="42" t="n">
        <v>30975</v>
      </c>
      <c r="F31" s="42" t="n">
        <v>13460</v>
      </c>
      <c r="G31" s="42" t="n">
        <v>44448</v>
      </c>
      <c r="H31" s="42" t="n">
        <v>20134</v>
      </c>
      <c r="I31" s="43" t="n">
        <v>49.54</v>
      </c>
      <c r="J31" s="43" t="n">
        <v>43.45</v>
      </c>
      <c r="K31" s="43" t="n">
        <v>45.3</v>
      </c>
    </row>
    <row r="32" ht="15" customHeight="1">
      <c r="A32" s="44" t="inlineStr">
        <is>
          <t>28-Feb-2026 05:45</t>
        </is>
      </c>
      <c r="B32" s="45" t="n">
        <v>40434</v>
      </c>
      <c r="C32" s="46" t="n">
        <v>14867</v>
      </c>
      <c r="D32" s="46" t="n">
        <v>7383</v>
      </c>
      <c r="E32" s="46" t="n">
        <v>33944</v>
      </c>
      <c r="F32" s="46" t="n">
        <v>14362</v>
      </c>
      <c r="G32" s="46" t="n">
        <v>48811</v>
      </c>
      <c r="H32" s="46" t="n">
        <v>21745</v>
      </c>
      <c r="I32" s="47" t="n">
        <v>49.66</v>
      </c>
      <c r="J32" s="47" t="n">
        <v>42.31</v>
      </c>
      <c r="K32" s="47" t="n">
        <v>44.55</v>
      </c>
    </row>
    <row r="33" ht="15" customHeight="1">
      <c r="A33" s="40" t="inlineStr">
        <is>
          <t>28-Feb-2026 06:00</t>
        </is>
      </c>
      <c r="B33" s="41" t="n">
        <v>40434</v>
      </c>
      <c r="C33" s="42" t="n">
        <v>17012</v>
      </c>
      <c r="D33" s="42" t="n">
        <v>8212</v>
      </c>
      <c r="E33" s="42" t="n">
        <v>37115</v>
      </c>
      <c r="F33" s="42" t="n">
        <v>17105</v>
      </c>
      <c r="G33" s="42" t="n">
        <v>54127</v>
      </c>
      <c r="H33" s="42" t="n">
        <v>25317</v>
      </c>
      <c r="I33" s="43" t="n">
        <v>48.27</v>
      </c>
      <c r="J33" s="43" t="n">
        <v>46.09</v>
      </c>
      <c r="K33" s="43" t="n">
        <v>46.77</v>
      </c>
    </row>
    <row r="34" ht="15" customHeight="1">
      <c r="A34" s="44" t="inlineStr">
        <is>
          <t>28-Feb-2026 06:15</t>
        </is>
      </c>
      <c r="B34" s="45" t="n">
        <v>40434</v>
      </c>
      <c r="C34" s="46" t="n">
        <v>16154</v>
      </c>
      <c r="D34" s="46" t="n">
        <v>6623</v>
      </c>
      <c r="E34" s="46" t="n">
        <v>38984</v>
      </c>
      <c r="F34" s="46" t="n">
        <v>18630</v>
      </c>
      <c r="G34" s="46" t="n">
        <v>55138</v>
      </c>
      <c r="H34" s="46" t="n">
        <v>25253</v>
      </c>
      <c r="I34" s="48" t="n">
        <v>41</v>
      </c>
      <c r="J34" s="47" t="n">
        <v>47.79</v>
      </c>
      <c r="K34" s="47" t="n">
        <v>45.8</v>
      </c>
    </row>
    <row r="35" ht="15" customHeight="1">
      <c r="A35" s="40" t="inlineStr">
        <is>
          <t>28-Feb-2026 06:30</t>
        </is>
      </c>
      <c r="B35" s="41" t="n">
        <v>40434</v>
      </c>
      <c r="C35" s="42" t="n">
        <v>15173</v>
      </c>
      <c r="D35" s="42" t="n">
        <v>7567</v>
      </c>
      <c r="E35" s="42" t="n">
        <v>39221</v>
      </c>
      <c r="F35" s="42" t="n">
        <v>18453</v>
      </c>
      <c r="G35" s="42" t="n">
        <v>54394</v>
      </c>
      <c r="H35" s="42" t="n">
        <v>26020</v>
      </c>
      <c r="I35" s="43" t="n">
        <v>49.87</v>
      </c>
      <c r="J35" s="43" t="n">
        <v>47.05</v>
      </c>
      <c r="K35" s="43" t="n">
        <v>47.84</v>
      </c>
    </row>
    <row r="36" ht="15" customHeight="1">
      <c r="A36" s="44" t="inlineStr">
        <is>
          <t>28-Feb-2026 06:45</t>
        </is>
      </c>
      <c r="B36" s="45" t="n">
        <v>40434</v>
      </c>
      <c r="C36" s="46" t="n">
        <v>15788</v>
      </c>
      <c r="D36" s="46" t="n">
        <v>7945</v>
      </c>
      <c r="E36" s="46" t="n">
        <v>37895</v>
      </c>
      <c r="F36" s="46" t="n">
        <v>17105</v>
      </c>
      <c r="G36" s="46" t="n">
        <v>53683</v>
      </c>
      <c r="H36" s="46" t="n">
        <v>25050</v>
      </c>
      <c r="I36" s="47" t="n">
        <v>50.32</v>
      </c>
      <c r="J36" s="48" t="n">
        <v>45.14</v>
      </c>
      <c r="K36" s="47" t="n">
        <v>46.66</v>
      </c>
    </row>
    <row r="37" ht="15" customHeight="1">
      <c r="A37" s="40" t="inlineStr">
        <is>
          <t>28-Feb-2026 07:00</t>
        </is>
      </c>
      <c r="B37" s="41" t="n">
        <v>40434</v>
      </c>
      <c r="C37" s="42" t="n">
        <v>10923</v>
      </c>
      <c r="D37" s="42" t="n">
        <v>5386</v>
      </c>
      <c r="E37" s="42" t="n">
        <v>34959</v>
      </c>
      <c r="F37" s="42" t="n">
        <v>15314</v>
      </c>
      <c r="G37" s="42" t="n">
        <v>45882</v>
      </c>
      <c r="H37" s="42" t="n">
        <v>20700</v>
      </c>
      <c r="I37" s="43" t="n">
        <v>49.31</v>
      </c>
      <c r="J37" s="43" t="n">
        <v>43.81</v>
      </c>
      <c r="K37" s="43" t="n">
        <v>45.12</v>
      </c>
    </row>
    <row r="38" ht="15" customHeight="1">
      <c r="A38" s="44" t="inlineStr">
        <is>
          <t>28-Feb-2026 07:15</t>
        </is>
      </c>
      <c r="B38" s="45" t="n">
        <v>40434</v>
      </c>
      <c r="C38" s="46" t="n">
        <v>16658</v>
      </c>
      <c r="D38" s="46" t="n">
        <v>8584</v>
      </c>
      <c r="E38" s="46" t="n">
        <v>28944</v>
      </c>
      <c r="F38" s="46" t="n">
        <v>10275</v>
      </c>
      <c r="G38" s="46" t="n">
        <v>45602</v>
      </c>
      <c r="H38" s="46" t="n">
        <v>18859</v>
      </c>
      <c r="I38" s="47" t="n">
        <v>51.53</v>
      </c>
      <c r="J38" s="49" t="n">
        <v>35.5</v>
      </c>
      <c r="K38" s="48" t="n">
        <v>41.36</v>
      </c>
    </row>
    <row r="39" ht="15" customHeight="1">
      <c r="A39" s="40" t="inlineStr">
        <is>
          <t>28-Feb-2026 07:30</t>
        </is>
      </c>
      <c r="B39" s="41" t="n">
        <v>40434</v>
      </c>
      <c r="C39" s="42" t="n">
        <v>15676</v>
      </c>
      <c r="D39" s="42" t="n">
        <v>7853</v>
      </c>
      <c r="E39" s="42" t="n">
        <v>37923</v>
      </c>
      <c r="F39" s="42" t="n">
        <v>17141</v>
      </c>
      <c r="G39" s="42" t="n">
        <v>53599</v>
      </c>
      <c r="H39" s="42" t="n">
        <v>24994</v>
      </c>
      <c r="I39" s="43" t="n">
        <v>50.1</v>
      </c>
      <c r="J39" s="43" t="n">
        <v>45.2</v>
      </c>
      <c r="K39" s="43" t="n">
        <v>46.63</v>
      </c>
    </row>
    <row r="40" ht="15" customHeight="1">
      <c r="A40" s="44" t="inlineStr">
        <is>
          <t>28-Feb-2026 07:45</t>
        </is>
      </c>
      <c r="B40" s="45" t="n">
        <v>40434</v>
      </c>
      <c r="C40" s="46" t="n">
        <v>16660</v>
      </c>
      <c r="D40" s="46" t="n">
        <v>7858</v>
      </c>
      <c r="E40" s="46" t="n">
        <v>35719</v>
      </c>
      <c r="F40" s="46" t="n">
        <v>16223</v>
      </c>
      <c r="G40" s="46" t="n">
        <v>52379</v>
      </c>
      <c r="H40" s="46" t="n">
        <v>24081</v>
      </c>
      <c r="I40" s="48" t="n">
        <v>47.17</v>
      </c>
      <c r="J40" s="47" t="n">
        <v>45.42</v>
      </c>
      <c r="K40" s="47" t="n">
        <v>45.97</v>
      </c>
    </row>
    <row r="41" ht="15" customHeight="1">
      <c r="A41" s="40" t="inlineStr">
        <is>
          <t>28-Feb-2026 08:00</t>
        </is>
      </c>
      <c r="B41" s="41" t="n">
        <v>40434</v>
      </c>
      <c r="C41" s="42" t="n">
        <v>14460</v>
      </c>
      <c r="D41" s="42" t="n">
        <v>7372</v>
      </c>
      <c r="E41" s="42" t="n">
        <v>35106</v>
      </c>
      <c r="F41" s="42" t="n">
        <v>15060</v>
      </c>
      <c r="G41" s="42" t="n">
        <v>49566</v>
      </c>
      <c r="H41" s="42" t="n">
        <v>22432</v>
      </c>
      <c r="I41" s="43" t="n">
        <v>50.98</v>
      </c>
      <c r="J41" s="48" t="n">
        <v>42.9</v>
      </c>
      <c r="K41" s="43" t="n">
        <v>45.26</v>
      </c>
    </row>
    <row r="42" ht="15" customHeight="1">
      <c r="A42" s="44" t="inlineStr">
        <is>
          <t>28-Feb-2026 08:15</t>
        </is>
      </c>
      <c r="B42" s="45" t="n">
        <v>40434</v>
      </c>
      <c r="C42" s="46" t="n">
        <v>15826</v>
      </c>
      <c r="D42" s="46" t="n">
        <v>6013</v>
      </c>
      <c r="E42" s="46" t="n">
        <v>49383</v>
      </c>
      <c r="F42" s="46" t="n">
        <v>16296</v>
      </c>
      <c r="G42" s="46" t="n">
        <v>65209</v>
      </c>
      <c r="H42" s="46" t="n">
        <v>22309</v>
      </c>
      <c r="I42" s="49" t="n">
        <v>37.99</v>
      </c>
      <c r="J42" s="49" t="n">
        <v>33</v>
      </c>
      <c r="K42" s="49" t="n">
        <v>34.21</v>
      </c>
    </row>
    <row r="43" ht="15" customHeight="1">
      <c r="A43" s="40" t="inlineStr">
        <is>
          <t>28-Feb-2026 08:30</t>
        </is>
      </c>
      <c r="B43" s="41" t="n">
        <v>40434</v>
      </c>
      <c r="C43" s="42" t="n">
        <v>16308</v>
      </c>
      <c r="D43" s="42" t="n">
        <v>7789</v>
      </c>
      <c r="E43" s="42" t="n">
        <v>39722</v>
      </c>
      <c r="F43" s="42" t="n">
        <v>18080</v>
      </c>
      <c r="G43" s="42" t="n">
        <v>56030</v>
      </c>
      <c r="H43" s="42" t="n">
        <v>25869</v>
      </c>
      <c r="I43" s="43" t="n">
        <v>47.76</v>
      </c>
      <c r="J43" s="43" t="n">
        <v>45.52</v>
      </c>
      <c r="K43" s="43" t="n">
        <v>46.17</v>
      </c>
    </row>
    <row r="44" ht="15" customHeight="1">
      <c r="A44" s="44" t="inlineStr">
        <is>
          <t>28-Feb-2026 08:45</t>
        </is>
      </c>
      <c r="B44" s="45" t="n">
        <v>40434</v>
      </c>
      <c r="C44" s="46" t="n">
        <v>15218</v>
      </c>
      <c r="D44" s="46" t="n">
        <v>7456</v>
      </c>
      <c r="E44" s="46" t="n">
        <v>43628</v>
      </c>
      <c r="F44" s="46" t="n">
        <v>18760</v>
      </c>
      <c r="G44" s="46" t="n">
        <v>58846</v>
      </c>
      <c r="H44" s="46" t="n">
        <v>26216</v>
      </c>
      <c r="I44" s="47" t="n">
        <v>48.99</v>
      </c>
      <c r="J44" s="48" t="n">
        <v>43</v>
      </c>
      <c r="K44" s="47" t="n">
        <v>44.55</v>
      </c>
    </row>
    <row r="45" ht="15" customHeight="1">
      <c r="A45" s="40" t="inlineStr">
        <is>
          <t>28-Feb-2026 09:00</t>
        </is>
      </c>
      <c r="B45" s="41" t="n">
        <v>40434</v>
      </c>
      <c r="C45" s="42" t="n">
        <v>18186</v>
      </c>
      <c r="D45" s="42" t="n">
        <v>9397</v>
      </c>
      <c r="E45" s="42" t="n">
        <v>37443</v>
      </c>
      <c r="F45" s="42" t="n">
        <v>17805</v>
      </c>
      <c r="G45" s="42" t="n">
        <v>55629</v>
      </c>
      <c r="H45" s="42" t="n">
        <v>27202</v>
      </c>
      <c r="I45" s="43" t="n">
        <v>51.67</v>
      </c>
      <c r="J45" s="43" t="n">
        <v>47.55</v>
      </c>
      <c r="K45" s="43" t="n">
        <v>48.9</v>
      </c>
    </row>
    <row r="46" ht="15" customHeight="1">
      <c r="A46" s="44" t="inlineStr">
        <is>
          <t>28-Feb-2026 09:15</t>
        </is>
      </c>
      <c r="B46" s="45" t="n">
        <v>40434</v>
      </c>
      <c r="C46" s="46" t="n">
        <v>15111</v>
      </c>
      <c r="D46" s="46" t="n">
        <v>7548</v>
      </c>
      <c r="E46" s="46" t="n">
        <v>45470</v>
      </c>
      <c r="F46" s="46" t="n">
        <v>20185</v>
      </c>
      <c r="G46" s="46" t="n">
        <v>60581</v>
      </c>
      <c r="H46" s="46" t="n">
        <v>27733</v>
      </c>
      <c r="I46" s="47" t="n">
        <v>49.95</v>
      </c>
      <c r="J46" s="48" t="n">
        <v>44.39</v>
      </c>
      <c r="K46" s="48" t="n">
        <v>45.78</v>
      </c>
    </row>
    <row r="47" ht="16" customHeight="1">
      <c r="A47" s="50" t="inlineStr">
        <is>
          <t>TOTAL</t>
        </is>
      </c>
      <c r="B47" s="51" t="n"/>
      <c r="C47" s="52">
        <f>SUM(C31:C46)</f>
        <v/>
      </c>
      <c r="D47" s="52">
        <f>SUM(D31:D46)</f>
        <v/>
      </c>
      <c r="E47" s="52">
        <f>SUM(E31:E46)</f>
        <v/>
      </c>
      <c r="F47" s="52">
        <f>SUM(F31:F46)</f>
        <v/>
      </c>
      <c r="G47" s="52">
        <f>SUM(G31:G46)</f>
        <v/>
      </c>
      <c r="H47" s="52">
        <f>SUM(H31:H46)</f>
        <v/>
      </c>
      <c r="I47" s="53">
        <f>IFERROR(AVERAGE(I31:I46),0)</f>
        <v/>
      </c>
      <c r="J47" s="53">
        <f>IFERROR(AVERAGE(J31:J46),0)</f>
        <v/>
      </c>
      <c r="K47" s="53">
        <f>IFERROR(AVERAGE(K31:K46),0)</f>
        <v/>
      </c>
    </row>
  </sheetData>
  <mergeCells count="3">
    <mergeCell ref="A29:K29"/>
    <mergeCell ref="A21:N2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2026-02-28T17:57:17Z</dcterms:created>
  <dcterms:modified xsi:type="dcterms:W3CDTF">2026-03-04T10:49:51Z</dcterms:modified>
</cp:coreProperties>
</file>